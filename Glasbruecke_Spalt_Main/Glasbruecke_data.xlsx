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joern_hzdr/Documents/GitHub/Glasbruecke_Institut_Physik_Rostock/Glasbruecke_Spalt_Main/"/>
    </mc:Choice>
  </mc:AlternateContent>
  <xr:revisionPtr revIDLastSave="0" documentId="13_ncr:1_{87C9C626-2BF8-8C46-8E4D-B5DC3B123A64}" xr6:coauthVersionLast="47" xr6:coauthVersionMax="47" xr10:uidLastSave="{00000000-0000-0000-0000-000000000000}"/>
  <bookViews>
    <workbookView xWindow="33320" yWindow="500" windowWidth="31820" windowHeight="20320" activeTab="1" xr2:uid="{8EA200BE-1066-834C-918B-2BEB0EDEA881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2" i="2"/>
  <c r="E2" i="2"/>
  <c r="F19" i="2"/>
  <c r="F18" i="2"/>
  <c r="F17" i="2"/>
  <c r="F16" i="2"/>
  <c r="F15" i="2"/>
  <c r="F14" i="2"/>
  <c r="F13" i="2"/>
  <c r="F12" i="2"/>
  <c r="F11" i="2"/>
  <c r="F10" i="2"/>
  <c r="F9" i="2"/>
  <c r="E19" i="2"/>
  <c r="E18" i="2"/>
  <c r="E17" i="2"/>
  <c r="E16" i="2"/>
  <c r="E15" i="2"/>
  <c r="E14" i="2"/>
  <c r="E13" i="2"/>
  <c r="E12" i="2"/>
  <c r="E11" i="2"/>
  <c r="E10" i="2"/>
  <c r="E9" i="2"/>
  <c r="E3" i="2"/>
  <c r="F3" i="2"/>
  <c r="E4" i="2"/>
  <c r="F4" i="2"/>
  <c r="E5" i="2"/>
  <c r="F5" i="2"/>
  <c r="E6" i="2"/>
  <c r="F6" i="2"/>
  <c r="E7" i="2"/>
  <c r="F7" i="2"/>
  <c r="E8" i="2"/>
  <c r="F8" i="2"/>
  <c r="F2" i="2"/>
</calcChain>
</file>

<file path=xl/sharedStrings.xml><?xml version="1.0" encoding="utf-8"?>
<sst xmlns="http://schemas.openxmlformats.org/spreadsheetml/2006/main" count="22" uniqueCount="20">
  <si>
    <t>Date</t>
  </si>
  <si>
    <t>Time</t>
  </si>
  <si>
    <t>T1/°C</t>
  </si>
  <si>
    <t>T2/°C</t>
  </si>
  <si>
    <t>D1/mm</t>
  </si>
  <si>
    <t>D2/mm</t>
  </si>
  <si>
    <t>dD_i/mm</t>
  </si>
  <si>
    <t>dT_i/K</t>
  </si>
  <si>
    <t>Anmerkung</t>
  </si>
  <si>
    <t>Sonnebeschienen</t>
  </si>
  <si>
    <t>Messtechnik ungenau</t>
  </si>
  <si>
    <t>Gummi gerissen</t>
  </si>
  <si>
    <t>T1_old</t>
  </si>
  <si>
    <t>T2_old</t>
  </si>
  <si>
    <t>T1_new</t>
  </si>
  <si>
    <t>T2_new</t>
  </si>
  <si>
    <t>p1</t>
  </si>
  <si>
    <t>p2</t>
  </si>
  <si>
    <t>d1</t>
  </si>
  <si>
    <t>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</si>
</sst>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165" fontId="1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Korrekturterm für unkalibrierte</a:t>
            </a:r>
            <a:r>
              <a:rPr lang="de-DE" baseline="0"/>
              <a:t> Temp. Messungen: Faktor: T' = a*T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Tabelle2!$E$2:$E$19</c:f>
              <c:numCache>
                <c:formatCode>General</c:formatCode>
                <c:ptCount val="18"/>
                <c:pt idx="0">
                  <c:v>1.1884816753926701</c:v>
                </c:pt>
                <c:pt idx="1">
                  <c:v>1.061855670103093</c:v>
                </c:pt>
                <c:pt idx="2">
                  <c:v>1.125</c:v>
                </c:pt>
                <c:pt idx="3">
                  <c:v>1.1451612903225805</c:v>
                </c:pt>
                <c:pt idx="4">
                  <c:v>1.1111111111111112</c:v>
                </c:pt>
                <c:pt idx="5">
                  <c:v>1.1081081081081081</c:v>
                </c:pt>
                <c:pt idx="6">
                  <c:v>1.1647727272727271</c:v>
                </c:pt>
                <c:pt idx="7">
                  <c:v>1.1067415730337078</c:v>
                </c:pt>
                <c:pt idx="8">
                  <c:v>1.1294117647058823</c:v>
                </c:pt>
                <c:pt idx="9">
                  <c:v>1.16875</c:v>
                </c:pt>
                <c:pt idx="10">
                  <c:v>1.1176470588235294</c:v>
                </c:pt>
                <c:pt idx="11">
                  <c:v>1.1779141104294477</c:v>
                </c:pt>
                <c:pt idx="12">
                  <c:v>1.0823529411764705</c:v>
                </c:pt>
                <c:pt idx="13">
                  <c:v>1.1840490797546013</c:v>
                </c:pt>
                <c:pt idx="14">
                  <c:v>1.1515151515151516</c:v>
                </c:pt>
                <c:pt idx="15">
                  <c:v>1.1061452513966481</c:v>
                </c:pt>
                <c:pt idx="16">
                  <c:v>1.1222222222222222</c:v>
                </c:pt>
                <c:pt idx="17">
                  <c:v>1.053475935828877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C-DF44-B6DE-F0859A47B6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Tabelle2!$F$2:$F$19</c:f>
              <c:numCache>
                <c:formatCode>General</c:formatCode>
                <c:ptCount val="18"/>
                <c:pt idx="0">
                  <c:v>1.1758241758241759</c:v>
                </c:pt>
                <c:pt idx="1">
                  <c:v>1.0982658959537572</c:v>
                </c:pt>
                <c:pt idx="2">
                  <c:v>1.2545454545454544</c:v>
                </c:pt>
                <c:pt idx="3">
                  <c:v>1.223529411764706</c:v>
                </c:pt>
                <c:pt idx="4">
                  <c:v>1.2138728323699421</c:v>
                </c:pt>
                <c:pt idx="5">
                  <c:v>1.1744186046511629</c:v>
                </c:pt>
                <c:pt idx="6">
                  <c:v>1.2658227848101264</c:v>
                </c:pt>
                <c:pt idx="7">
                  <c:v>1.2124999999999999</c:v>
                </c:pt>
                <c:pt idx="8">
                  <c:v>1.2171052631578947</c:v>
                </c:pt>
                <c:pt idx="9">
                  <c:v>1.267605633802817</c:v>
                </c:pt>
                <c:pt idx="10">
                  <c:v>1.2348993288590602</c:v>
                </c:pt>
                <c:pt idx="11">
                  <c:v>1.2133333333333334</c:v>
                </c:pt>
                <c:pt idx="12">
                  <c:v>1.18</c:v>
                </c:pt>
                <c:pt idx="13">
                  <c:v>1.2666666666666666</c:v>
                </c:pt>
                <c:pt idx="14">
                  <c:v>1.2</c:v>
                </c:pt>
                <c:pt idx="15">
                  <c:v>1.20625</c:v>
                </c:pt>
                <c:pt idx="16">
                  <c:v>1.1470588235294117</c:v>
                </c:pt>
                <c:pt idx="17">
                  <c:v>1.1779141104294477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C-DF44-B6DE-F0859A47B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556240"/>
        <c:axId val="1790440176"/>
      </c:lineChart>
      <c:catAx>
        <c:axId val="1795556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#Messungen</a:t>
                </a:r>
                <a:r>
                  <a:rPr lang="de-DE" baseline="0"/>
                  <a:t> [1]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90440176"/>
        <c:crosses val="autoZero"/>
        <c:auto val="1"/>
        <c:lblAlgn val="ctr"/>
        <c:lblOffset val="100"/>
        <c:noMultiLvlLbl val="0"/>
      </c:catAx>
      <c:valAx>
        <c:axId val="1790440176"/>
        <c:scaling>
          <c:orientation val="minMax"/>
          <c:max val="1.4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Temperaturkorrektur [1]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955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Korrekturterm für unkalibrierte Temp. Messungen: Addition: T' = T+ 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Tabelle2!$G$2:$G$19</c:f>
              <c:numCache>
                <c:formatCode>0.0</c:formatCode>
                <c:ptCount val="18"/>
                <c:pt idx="0">
                  <c:v>3.5999999999999979</c:v>
                </c:pt>
                <c:pt idx="1">
                  <c:v>1.2000000000000028</c:v>
                </c:pt>
                <c:pt idx="2">
                  <c:v>2.3000000000000007</c:v>
                </c:pt>
                <c:pt idx="3">
                  <c:v>2.6999999999999993</c:v>
                </c:pt>
                <c:pt idx="4">
                  <c:v>2.1000000000000014</c:v>
                </c:pt>
                <c:pt idx="5">
                  <c:v>2</c:v>
                </c:pt>
                <c:pt idx="6">
                  <c:v>2.8999999999999986</c:v>
                </c:pt>
                <c:pt idx="7">
                  <c:v>1.8999999999999986</c:v>
                </c:pt>
                <c:pt idx="8">
                  <c:v>2.1999999999999993</c:v>
                </c:pt>
                <c:pt idx="9">
                  <c:v>2.6999999999999993</c:v>
                </c:pt>
                <c:pt idx="10">
                  <c:v>2</c:v>
                </c:pt>
                <c:pt idx="11">
                  <c:v>2.8999999999999986</c:v>
                </c:pt>
                <c:pt idx="12">
                  <c:v>1.3999999999999986</c:v>
                </c:pt>
                <c:pt idx="13">
                  <c:v>3</c:v>
                </c:pt>
                <c:pt idx="14">
                  <c:v>2.5</c:v>
                </c:pt>
                <c:pt idx="15">
                  <c:v>1.9000000000000021</c:v>
                </c:pt>
                <c:pt idx="16">
                  <c:v>2.1999999999999993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36-6047-A810-A4B6D8699FD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Tabelle2!$H$2:$H$19</c:f>
              <c:numCache>
                <c:formatCode>0.0</c:formatCode>
                <c:ptCount val="18"/>
                <c:pt idx="0">
                  <c:v>3.1999999999999993</c:v>
                </c:pt>
                <c:pt idx="1">
                  <c:v>1.6999999999999993</c:v>
                </c:pt>
                <c:pt idx="2">
                  <c:v>4.1999999999999993</c:v>
                </c:pt>
                <c:pt idx="3">
                  <c:v>3.8000000000000007</c:v>
                </c:pt>
                <c:pt idx="4">
                  <c:v>3.6999999999999993</c:v>
                </c:pt>
                <c:pt idx="5">
                  <c:v>3</c:v>
                </c:pt>
                <c:pt idx="6">
                  <c:v>4.1999999999999993</c:v>
                </c:pt>
                <c:pt idx="7">
                  <c:v>3.3999999999999986</c:v>
                </c:pt>
                <c:pt idx="8">
                  <c:v>3.3000000000000007</c:v>
                </c:pt>
                <c:pt idx="9">
                  <c:v>3.8000000000000007</c:v>
                </c:pt>
                <c:pt idx="10">
                  <c:v>3.4999999999999982</c:v>
                </c:pt>
                <c:pt idx="11">
                  <c:v>3.1999999999999993</c:v>
                </c:pt>
                <c:pt idx="12">
                  <c:v>2.6999999999999993</c:v>
                </c:pt>
                <c:pt idx="13">
                  <c:v>4</c:v>
                </c:pt>
                <c:pt idx="14">
                  <c:v>3</c:v>
                </c:pt>
                <c:pt idx="15">
                  <c:v>3.3000000000000007</c:v>
                </c:pt>
                <c:pt idx="16">
                  <c:v>2.5</c:v>
                </c:pt>
                <c:pt idx="17">
                  <c:v>2.8999999999999986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36-6047-A810-A4B6D8699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886256"/>
        <c:axId val="655887968"/>
      </c:lineChart>
      <c:catAx>
        <c:axId val="65588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#Messung [1]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5887968"/>
        <c:crosses val="autoZero"/>
        <c:auto val="1"/>
        <c:lblAlgn val="ctr"/>
        <c:lblOffset val="100"/>
        <c:noMultiLvlLbl val="0"/>
      </c:catAx>
      <c:valAx>
        <c:axId val="65588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Zusätzliche Temperaturterm</a:t>
                </a:r>
                <a:r>
                  <a:rPr lang="de-DE" baseline="0"/>
                  <a:t> [K]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588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260350</xdr:colOff>
      <xdr:row>2</xdr:row>
      <xdr:rowOff>184150</xdr:rowOff>
    </xdr:from>
    <xdr:to>
      <xdr:col>17</xdr:col>
      <xdr:colOff>292100</xdr:colOff>
      <xdr:row>19</xdr:row>
      <xdr:rowOff>127000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9D5B0B8-EE92-31D3-8B5C-CE5D94BA5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196850</xdr:colOff>
      <xdr:row>20</xdr:row>
      <xdr:rowOff>165100</xdr:rowOff>
    </xdr:from>
    <xdr:to>
      <xdr:col>17</xdr:col>
      <xdr:colOff>292100</xdr:colOff>
      <xdr:row>37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5C383FC-F32C-72E9-9DBE-C82D4B01F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F3E8-761C-B749-991E-D722927518DD}">
  <dimension ref="A1:I68"/>
  <sheetViews>
    <sheetView topLeftCell="A39" workbookViewId="0">
      <selection activeCell="C58" sqref="C58:D68"/>
    </sheetView>
  </sheetViews>
  <sheetFormatPr baseColWidth="10" defaultRowHeight="16" x14ac:dyDescent="0.2"/>
  <cols>
    <col min="1" max="1" width="9.83203125" customWidth="1"/>
    <col min="9" max="9" width="23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</row>
    <row r="2" spans="1:9" x14ac:dyDescent="0.2">
      <c r="A2" s="1">
        <v>45519</v>
      </c>
      <c r="B2" s="2">
        <v>0.41180555555555554</v>
      </c>
      <c r="C2" s="4">
        <v>30</v>
      </c>
      <c r="D2" s="4">
        <v>30.5</v>
      </c>
      <c r="E2" s="4">
        <v>22.5</v>
      </c>
      <c r="F2" s="4">
        <v>19.7</v>
      </c>
      <c r="G2" s="4">
        <v>2.5</v>
      </c>
      <c r="H2" s="4">
        <v>0.2</v>
      </c>
      <c r="I2" t="s">
        <v>10</v>
      </c>
    </row>
    <row r="3" spans="1:9" x14ac:dyDescent="0.2">
      <c r="A3" s="1">
        <v>45525</v>
      </c>
      <c r="B3" s="2">
        <v>0.4145833333333333</v>
      </c>
      <c r="C3" s="4">
        <v>25.6</v>
      </c>
      <c r="D3" s="4">
        <v>25.8</v>
      </c>
      <c r="E3" s="4">
        <v>22.9</v>
      </c>
      <c r="F3" s="4">
        <v>20.2</v>
      </c>
      <c r="G3" s="4">
        <v>2.5</v>
      </c>
      <c r="H3" s="4">
        <v>0.2</v>
      </c>
    </row>
    <row r="4" spans="1:9" x14ac:dyDescent="0.2">
      <c r="A4" s="1">
        <v>45531</v>
      </c>
      <c r="B4" s="2">
        <v>0.62916666666666665</v>
      </c>
      <c r="C4" s="4">
        <v>31</v>
      </c>
      <c r="D4" s="4">
        <v>31.4</v>
      </c>
      <c r="E4" s="4">
        <v>23</v>
      </c>
      <c r="F4" s="4">
        <v>20.6</v>
      </c>
      <c r="G4" s="4">
        <v>2.5</v>
      </c>
      <c r="H4" s="4">
        <v>0.2</v>
      </c>
    </row>
    <row r="5" spans="1:9" x14ac:dyDescent="0.2">
      <c r="A5" s="1">
        <v>45534</v>
      </c>
      <c r="B5" s="2">
        <v>0.68263888888888891</v>
      </c>
      <c r="C5" s="4">
        <v>22.4</v>
      </c>
      <c r="D5" s="4">
        <v>25</v>
      </c>
      <c r="E5" s="4">
        <v>22.6</v>
      </c>
      <c r="F5" s="4">
        <v>20.5</v>
      </c>
      <c r="G5" s="4">
        <v>2.5</v>
      </c>
      <c r="H5" s="4">
        <v>0.2</v>
      </c>
    </row>
    <row r="6" spans="1:9" x14ac:dyDescent="0.2">
      <c r="A6" s="1">
        <v>45536</v>
      </c>
      <c r="B6" s="2">
        <v>0.60347222222222219</v>
      </c>
      <c r="C6" s="4">
        <v>27</v>
      </c>
      <c r="D6" s="4">
        <v>28.2</v>
      </c>
      <c r="E6" s="4">
        <v>22.7</v>
      </c>
      <c r="F6" s="4">
        <v>20.6</v>
      </c>
      <c r="G6" s="4">
        <v>2.5</v>
      </c>
      <c r="H6" s="4">
        <v>0.2</v>
      </c>
    </row>
    <row r="7" spans="1:9" x14ac:dyDescent="0.2">
      <c r="A7" s="1">
        <v>45537</v>
      </c>
      <c r="B7" s="2">
        <v>0.62916666666666665</v>
      </c>
      <c r="C7" s="4">
        <v>28.3</v>
      </c>
      <c r="D7" s="4">
        <v>30.3</v>
      </c>
      <c r="E7" s="4">
        <v>22.7</v>
      </c>
      <c r="F7" s="4">
        <v>20.8</v>
      </c>
      <c r="G7" s="4">
        <v>2.5</v>
      </c>
      <c r="H7" s="4">
        <v>0.2</v>
      </c>
    </row>
    <row r="8" spans="1:9" x14ac:dyDescent="0.2">
      <c r="A8" s="1">
        <v>45545</v>
      </c>
      <c r="B8" s="2">
        <v>0.64166666666666672</v>
      </c>
      <c r="C8" s="4">
        <v>25.2</v>
      </c>
      <c r="D8" s="4">
        <v>26.8</v>
      </c>
      <c r="E8" s="4">
        <v>22.9</v>
      </c>
      <c r="F8" s="4">
        <v>20.9</v>
      </c>
      <c r="G8" s="4">
        <v>2.5</v>
      </c>
      <c r="H8" s="4">
        <v>0.2</v>
      </c>
    </row>
    <row r="9" spans="1:9" x14ac:dyDescent="0.2">
      <c r="A9" s="1">
        <v>45546</v>
      </c>
      <c r="B9" s="2">
        <v>0.83680555555555547</v>
      </c>
      <c r="C9" s="4">
        <v>24.6</v>
      </c>
      <c r="D9" s="4">
        <v>25.6</v>
      </c>
      <c r="E9" s="4">
        <v>23.3</v>
      </c>
      <c r="F9" s="4">
        <v>21.2</v>
      </c>
      <c r="G9" s="4">
        <v>2.5</v>
      </c>
      <c r="H9" s="4">
        <v>0.2</v>
      </c>
    </row>
    <row r="10" spans="1:9" x14ac:dyDescent="0.2">
      <c r="A10" s="1">
        <v>45582</v>
      </c>
      <c r="B10" s="2">
        <v>0.47291666666666665</v>
      </c>
      <c r="C10" s="4">
        <v>19.5</v>
      </c>
      <c r="D10" s="4">
        <v>20.3</v>
      </c>
      <c r="E10" s="4">
        <v>27.1</v>
      </c>
      <c r="F10" s="4">
        <v>25.1</v>
      </c>
      <c r="G10" s="4">
        <v>2.5</v>
      </c>
      <c r="H10" s="4">
        <v>0.2</v>
      </c>
    </row>
    <row r="11" spans="1:9" x14ac:dyDescent="0.2">
      <c r="A11" s="1">
        <v>45583</v>
      </c>
      <c r="B11" s="3">
        <v>0.6118055555555556</v>
      </c>
      <c r="C11" s="4">
        <v>23.5</v>
      </c>
      <c r="D11" s="4">
        <v>21</v>
      </c>
      <c r="E11" s="4">
        <v>27.2</v>
      </c>
      <c r="F11" s="4">
        <v>25.1</v>
      </c>
      <c r="G11" s="4">
        <v>2.5</v>
      </c>
      <c r="H11" s="4">
        <v>0.2</v>
      </c>
    </row>
    <row r="12" spans="1:9" x14ac:dyDescent="0.2">
      <c r="A12" s="1">
        <v>45588</v>
      </c>
      <c r="B12" s="3">
        <v>0.61805555555555558</v>
      </c>
      <c r="C12" s="4">
        <v>24</v>
      </c>
      <c r="D12" s="4">
        <v>24</v>
      </c>
      <c r="E12" s="4">
        <v>27.1</v>
      </c>
      <c r="F12" s="4">
        <v>25.5</v>
      </c>
      <c r="G12" s="4">
        <v>2.5</v>
      </c>
      <c r="H12" s="4">
        <v>0.2</v>
      </c>
    </row>
    <row r="13" spans="1:9" x14ac:dyDescent="0.2">
      <c r="A13" s="1">
        <v>45590</v>
      </c>
      <c r="B13" s="3">
        <v>0.74375000000000002</v>
      </c>
      <c r="C13" s="4">
        <v>21</v>
      </c>
      <c r="D13" s="4">
        <v>21.9</v>
      </c>
      <c r="E13" s="4">
        <v>27.1</v>
      </c>
      <c r="F13" s="4">
        <v>25.2</v>
      </c>
      <c r="G13" s="4">
        <v>2.5</v>
      </c>
      <c r="H13" s="4">
        <v>0.2</v>
      </c>
    </row>
    <row r="14" spans="1:9" x14ac:dyDescent="0.2">
      <c r="A14" s="1">
        <v>45607</v>
      </c>
      <c r="B14" s="3">
        <v>0.61527777777777781</v>
      </c>
      <c r="C14" s="4">
        <v>18</v>
      </c>
      <c r="D14" s="4">
        <v>19</v>
      </c>
      <c r="E14" s="4">
        <v>28.4</v>
      </c>
      <c r="F14" s="4">
        <v>26.2</v>
      </c>
      <c r="G14" s="4">
        <v>2.5</v>
      </c>
      <c r="H14" s="4">
        <v>0.2</v>
      </c>
    </row>
    <row r="15" spans="1:9" x14ac:dyDescent="0.2">
      <c r="A15" s="1">
        <v>45614</v>
      </c>
      <c r="B15" s="3">
        <v>0.83194444444444438</v>
      </c>
      <c r="C15" s="4">
        <v>18.5</v>
      </c>
      <c r="D15" s="4">
        <v>18</v>
      </c>
      <c r="E15" s="4">
        <v>28.4</v>
      </c>
      <c r="F15" s="4">
        <v>26.4</v>
      </c>
      <c r="G15" s="4">
        <v>2.5</v>
      </c>
      <c r="H15" s="4">
        <v>0.2</v>
      </c>
    </row>
    <row r="16" spans="1:9" x14ac:dyDescent="0.2">
      <c r="A16" s="1">
        <v>45617</v>
      </c>
      <c r="B16" s="3">
        <v>0.52152777777777781</v>
      </c>
      <c r="C16" s="4">
        <v>16.2</v>
      </c>
      <c r="D16" s="4">
        <v>15.7</v>
      </c>
      <c r="E16" s="4">
        <v>29.1</v>
      </c>
      <c r="F16" s="4">
        <v>26.5</v>
      </c>
      <c r="G16" s="4">
        <v>2.5</v>
      </c>
      <c r="H16" s="4">
        <v>0.2</v>
      </c>
    </row>
    <row r="17" spans="1:8" x14ac:dyDescent="0.2">
      <c r="A17" s="1">
        <v>45621</v>
      </c>
      <c r="B17" s="3">
        <v>0.77569444444444446</v>
      </c>
      <c r="C17" s="4">
        <v>18.5</v>
      </c>
      <c r="D17" s="4">
        <v>17.8</v>
      </c>
      <c r="E17" s="4">
        <v>28.6</v>
      </c>
      <c r="F17" s="4">
        <v>26.5</v>
      </c>
      <c r="G17" s="4">
        <v>2.5</v>
      </c>
      <c r="H17" s="4">
        <v>0.2</v>
      </c>
    </row>
    <row r="18" spans="1:8" x14ac:dyDescent="0.2">
      <c r="A18" s="1">
        <v>45625</v>
      </c>
      <c r="B18" s="3">
        <v>0.59722222222222221</v>
      </c>
      <c r="C18" s="4">
        <v>18.100000000000001</v>
      </c>
      <c r="D18" s="4">
        <v>16.2</v>
      </c>
      <c r="E18" s="4">
        <v>28.7</v>
      </c>
      <c r="F18" s="4">
        <v>26.3</v>
      </c>
      <c r="G18" s="4">
        <v>2.5</v>
      </c>
      <c r="H18" s="4">
        <v>0.2</v>
      </c>
    </row>
    <row r="19" spans="1:8" x14ac:dyDescent="0.2">
      <c r="A19" s="1">
        <v>45630</v>
      </c>
      <c r="B19" s="3">
        <v>0.58680555555555558</v>
      </c>
      <c r="C19" s="4">
        <v>18</v>
      </c>
      <c r="D19" s="4">
        <v>17.5</v>
      </c>
      <c r="E19" s="4">
        <v>29</v>
      </c>
      <c r="F19" s="4">
        <v>26.8</v>
      </c>
      <c r="G19" s="4">
        <v>2.5</v>
      </c>
      <c r="H19" s="4">
        <v>0.2</v>
      </c>
    </row>
    <row r="20" spans="1:8" x14ac:dyDescent="0.2">
      <c r="A20" s="1">
        <v>45642</v>
      </c>
      <c r="B20" s="3">
        <v>0.82013888888888886</v>
      </c>
      <c r="C20" s="4">
        <v>16.8</v>
      </c>
      <c r="D20" s="4">
        <v>16.5</v>
      </c>
      <c r="E20" s="4">
        <v>29</v>
      </c>
      <c r="F20" s="4">
        <v>27</v>
      </c>
      <c r="G20" s="4">
        <v>2.5</v>
      </c>
      <c r="H20" s="4">
        <v>0.2</v>
      </c>
    </row>
    <row r="21" spans="1:8" x14ac:dyDescent="0.2">
      <c r="A21" s="1">
        <v>45659</v>
      </c>
      <c r="B21" s="3">
        <v>0.4770833333333333</v>
      </c>
      <c r="C21" s="4">
        <v>13.3</v>
      </c>
      <c r="D21" s="4">
        <v>11.8</v>
      </c>
      <c r="E21" s="4">
        <v>31</v>
      </c>
      <c r="F21" s="4">
        <v>28.8</v>
      </c>
      <c r="G21" s="4">
        <v>2.5</v>
      </c>
      <c r="H21" s="4">
        <v>0.2</v>
      </c>
    </row>
    <row r="22" spans="1:8" x14ac:dyDescent="0.2">
      <c r="A22" s="1">
        <v>45664</v>
      </c>
      <c r="B22" s="3">
        <v>0.79236111111111107</v>
      </c>
      <c r="C22" s="4">
        <v>14.3</v>
      </c>
      <c r="D22" s="4">
        <v>14.7</v>
      </c>
      <c r="E22" s="4">
        <v>30.2</v>
      </c>
      <c r="F22" s="4">
        <v>28.2</v>
      </c>
      <c r="G22" s="4">
        <v>2.5</v>
      </c>
      <c r="H22" s="4">
        <v>0.2</v>
      </c>
    </row>
    <row r="23" spans="1:8" x14ac:dyDescent="0.2">
      <c r="A23" s="1">
        <v>45667</v>
      </c>
      <c r="B23" s="3">
        <v>0.42430555555555555</v>
      </c>
      <c r="C23" s="4">
        <v>15</v>
      </c>
      <c r="D23" s="4">
        <v>14</v>
      </c>
      <c r="E23" s="4">
        <v>30.2</v>
      </c>
      <c r="F23" s="4">
        <v>28.1</v>
      </c>
      <c r="G23" s="4">
        <v>2.5</v>
      </c>
      <c r="H23" s="4">
        <v>0.2</v>
      </c>
    </row>
    <row r="24" spans="1:8" x14ac:dyDescent="0.2">
      <c r="A24" s="1">
        <v>45670</v>
      </c>
      <c r="B24" s="3">
        <v>0.39444444444444443</v>
      </c>
      <c r="C24" s="4">
        <v>12.8</v>
      </c>
      <c r="D24" s="4">
        <v>12.4</v>
      </c>
      <c r="E24" s="4">
        <v>30.4</v>
      </c>
      <c r="F24" s="4">
        <v>28.1</v>
      </c>
      <c r="G24" s="4">
        <v>2.5</v>
      </c>
      <c r="H24" s="4">
        <v>0.2</v>
      </c>
    </row>
    <row r="25" spans="1:8" x14ac:dyDescent="0.2">
      <c r="A25" s="1">
        <v>45674</v>
      </c>
      <c r="B25" s="3">
        <v>0.6645833333333333</v>
      </c>
      <c r="C25" s="4">
        <v>16.8</v>
      </c>
      <c r="D25" s="4">
        <v>16.2</v>
      </c>
      <c r="E25" s="4">
        <v>29.9</v>
      </c>
      <c r="F25" s="4">
        <v>27.7</v>
      </c>
      <c r="G25" s="4">
        <v>2.5</v>
      </c>
      <c r="H25" s="4">
        <v>0.2</v>
      </c>
    </row>
    <row r="26" spans="1:8" x14ac:dyDescent="0.2">
      <c r="A26" s="1">
        <v>45676</v>
      </c>
      <c r="B26" s="3">
        <v>0.45416666666666666</v>
      </c>
      <c r="C26" s="4">
        <v>14.3</v>
      </c>
      <c r="D26" s="4">
        <v>14.1</v>
      </c>
      <c r="E26" s="4">
        <v>29.9</v>
      </c>
      <c r="F26" s="4">
        <v>27.9</v>
      </c>
      <c r="G26" s="4">
        <v>2.5</v>
      </c>
      <c r="H26" s="4">
        <v>0.2</v>
      </c>
    </row>
    <row r="27" spans="1:8" x14ac:dyDescent="0.2">
      <c r="A27" s="1">
        <v>45681</v>
      </c>
      <c r="B27" s="3">
        <v>0.66527777777777775</v>
      </c>
      <c r="C27" s="4">
        <v>17.399999999999999</v>
      </c>
      <c r="D27" s="4">
        <v>17.100000000000001</v>
      </c>
      <c r="E27" s="4">
        <v>29.9</v>
      </c>
      <c r="F27" s="4">
        <v>27.6</v>
      </c>
      <c r="G27" s="4">
        <v>2.5</v>
      </c>
      <c r="H27" s="4">
        <v>0.2</v>
      </c>
    </row>
    <row r="28" spans="1:8" x14ac:dyDescent="0.2">
      <c r="A28" s="1">
        <v>45691</v>
      </c>
      <c r="B28" s="3">
        <v>0.71527777777777779</v>
      </c>
      <c r="C28" s="4">
        <v>16</v>
      </c>
      <c r="D28" s="4">
        <v>15.6</v>
      </c>
      <c r="E28" s="4">
        <v>29.8</v>
      </c>
      <c r="F28" s="4">
        <v>27.6</v>
      </c>
      <c r="G28" s="4">
        <v>2.5</v>
      </c>
      <c r="H28" s="4">
        <v>0.2</v>
      </c>
    </row>
    <row r="29" spans="1:8" x14ac:dyDescent="0.2">
      <c r="A29" s="1">
        <v>45695</v>
      </c>
      <c r="B29" s="3">
        <v>0.79236111111111107</v>
      </c>
      <c r="C29" s="4">
        <v>16.600000000000001</v>
      </c>
      <c r="D29" s="4">
        <v>15.5</v>
      </c>
      <c r="E29" s="4">
        <v>29.5</v>
      </c>
      <c r="F29" s="4">
        <v>27.5</v>
      </c>
      <c r="G29" s="4">
        <v>2.5</v>
      </c>
      <c r="H29" s="4">
        <v>0.2</v>
      </c>
    </row>
    <row r="30" spans="1:8" x14ac:dyDescent="0.2">
      <c r="A30" s="1">
        <v>45700</v>
      </c>
      <c r="B30" s="3">
        <v>0.73541666666666661</v>
      </c>
      <c r="C30" s="4">
        <v>15.1</v>
      </c>
      <c r="D30" s="4">
        <v>14.3</v>
      </c>
      <c r="E30" s="4">
        <v>30</v>
      </c>
      <c r="F30" s="4">
        <v>27.7</v>
      </c>
      <c r="G30" s="4">
        <v>2.5</v>
      </c>
      <c r="H30" s="4">
        <v>0.2</v>
      </c>
    </row>
    <row r="31" spans="1:8" x14ac:dyDescent="0.2">
      <c r="A31" s="1">
        <v>45706</v>
      </c>
      <c r="B31" s="3">
        <v>0.44791666666666669</v>
      </c>
      <c r="C31" s="4">
        <v>13</v>
      </c>
      <c r="D31" s="4">
        <v>13.4</v>
      </c>
      <c r="E31" s="4">
        <v>30.1</v>
      </c>
      <c r="F31" s="4">
        <v>27.9</v>
      </c>
      <c r="G31" s="4">
        <v>2.5</v>
      </c>
      <c r="H31" s="4">
        <v>0.2</v>
      </c>
    </row>
    <row r="32" spans="1:8" x14ac:dyDescent="0.2">
      <c r="A32" s="1">
        <v>45712</v>
      </c>
      <c r="B32" s="3">
        <v>0.59236111111111112</v>
      </c>
      <c r="C32" s="4">
        <v>17.399999999999999</v>
      </c>
      <c r="D32" s="4">
        <v>16</v>
      </c>
      <c r="E32" s="4">
        <v>29.6</v>
      </c>
      <c r="F32" s="4">
        <v>27.3</v>
      </c>
      <c r="G32" s="4">
        <v>2.5</v>
      </c>
      <c r="H32" s="4">
        <v>0.2</v>
      </c>
    </row>
    <row r="33" spans="1:9" x14ac:dyDescent="0.2">
      <c r="A33" s="1">
        <v>45717</v>
      </c>
      <c r="B33" s="3">
        <v>0.64861111111111114</v>
      </c>
      <c r="C33" s="4">
        <v>15.5</v>
      </c>
      <c r="D33" s="4">
        <v>14.2</v>
      </c>
      <c r="E33" s="4">
        <v>29.5</v>
      </c>
      <c r="F33" s="4">
        <v>27.3</v>
      </c>
      <c r="G33" s="4">
        <v>2.5</v>
      </c>
      <c r="H33" s="4">
        <v>0.2</v>
      </c>
    </row>
    <row r="34" spans="1:9" x14ac:dyDescent="0.2">
      <c r="A34" s="1">
        <v>45723</v>
      </c>
      <c r="B34" s="3">
        <v>0.75555555555555554</v>
      </c>
      <c r="C34" s="4">
        <v>21.7</v>
      </c>
      <c r="D34" s="4">
        <v>20.399999999999999</v>
      </c>
      <c r="E34" s="4">
        <v>28.4</v>
      </c>
      <c r="F34" s="4">
        <v>26.6</v>
      </c>
      <c r="G34" s="4">
        <v>2.5</v>
      </c>
      <c r="H34" s="4">
        <v>0.2</v>
      </c>
    </row>
    <row r="35" spans="1:9" x14ac:dyDescent="0.2">
      <c r="A35" s="1">
        <v>45729</v>
      </c>
      <c r="B35" s="3">
        <v>0.68194444444444446</v>
      </c>
      <c r="C35" s="4">
        <v>18.5</v>
      </c>
      <c r="D35" s="4">
        <v>19.899999999999999</v>
      </c>
      <c r="E35" s="4">
        <v>28.5</v>
      </c>
      <c r="F35" s="4">
        <v>26.3</v>
      </c>
      <c r="G35" s="4">
        <v>2.5</v>
      </c>
      <c r="H35" s="4">
        <v>0.2</v>
      </c>
      <c r="I35" t="s">
        <v>9</v>
      </c>
    </row>
    <row r="36" spans="1:9" x14ac:dyDescent="0.2">
      <c r="A36" s="1">
        <v>45736</v>
      </c>
      <c r="B36" s="3">
        <v>0.58194444444444449</v>
      </c>
      <c r="C36" s="4">
        <v>22.6</v>
      </c>
      <c r="D36" s="4">
        <v>22.8</v>
      </c>
      <c r="E36" s="4">
        <v>27.9</v>
      </c>
      <c r="F36" s="4">
        <v>26.1</v>
      </c>
      <c r="G36" s="4">
        <v>2.5</v>
      </c>
      <c r="H36" s="4">
        <v>0.2</v>
      </c>
    </row>
    <row r="37" spans="1:9" x14ac:dyDescent="0.2">
      <c r="A37" s="1">
        <v>45749</v>
      </c>
      <c r="B37" s="3">
        <v>0.73333333333333339</v>
      </c>
      <c r="C37" s="4">
        <v>22.1</v>
      </c>
      <c r="D37" s="4">
        <v>22.6</v>
      </c>
      <c r="E37" s="4">
        <v>27.7</v>
      </c>
      <c r="F37" s="4">
        <v>25.5</v>
      </c>
      <c r="G37" s="4">
        <v>2.5</v>
      </c>
      <c r="H37" s="4">
        <v>0.2</v>
      </c>
    </row>
    <row r="38" spans="1:9" x14ac:dyDescent="0.2">
      <c r="A38" s="1">
        <v>45762</v>
      </c>
      <c r="B38" s="3">
        <v>0.59236111111111112</v>
      </c>
      <c r="C38" s="4">
        <v>20.3</v>
      </c>
      <c r="D38" s="4">
        <v>23</v>
      </c>
      <c r="E38" s="4">
        <v>27.1</v>
      </c>
      <c r="F38" s="4">
        <v>24.9</v>
      </c>
      <c r="G38" s="4">
        <v>2.5</v>
      </c>
      <c r="H38" s="4">
        <v>0.2</v>
      </c>
      <c r="I38" t="s">
        <v>9</v>
      </c>
    </row>
    <row r="39" spans="1:9" x14ac:dyDescent="0.2">
      <c r="A39" s="1">
        <v>45782</v>
      </c>
      <c r="B39" s="3">
        <v>0.6791666666666667</v>
      </c>
      <c r="C39" s="4">
        <v>23.9</v>
      </c>
      <c r="D39" s="4">
        <v>21.7</v>
      </c>
      <c r="E39" s="4">
        <v>26.1</v>
      </c>
      <c r="F39" s="4">
        <v>23.6</v>
      </c>
      <c r="G39" s="4">
        <v>2.5</v>
      </c>
      <c r="H39" s="4">
        <v>0.2</v>
      </c>
    </row>
    <row r="40" spans="1:9" x14ac:dyDescent="0.2">
      <c r="A40" s="1">
        <v>45804</v>
      </c>
      <c r="B40" s="3">
        <v>0.61805555555555558</v>
      </c>
      <c r="C40" s="4">
        <v>22.7</v>
      </c>
      <c r="D40" s="4">
        <v>21.6</v>
      </c>
      <c r="E40" s="4">
        <v>26</v>
      </c>
      <c r="F40" s="4">
        <v>23.9</v>
      </c>
      <c r="G40" s="4">
        <v>2.5</v>
      </c>
      <c r="H40" s="4">
        <v>0.2</v>
      </c>
    </row>
    <row r="41" spans="1:9" x14ac:dyDescent="0.2">
      <c r="A41" s="1">
        <v>45824</v>
      </c>
      <c r="B41" s="3">
        <v>0.75624999999999998</v>
      </c>
      <c r="C41" s="4">
        <v>26.3</v>
      </c>
      <c r="D41" s="4">
        <v>24.2</v>
      </c>
      <c r="E41" s="4">
        <v>24.6</v>
      </c>
      <c r="F41" s="4">
        <v>22.4</v>
      </c>
      <c r="G41" s="4">
        <v>2.5</v>
      </c>
      <c r="H41" s="4">
        <v>0.2</v>
      </c>
    </row>
    <row r="42" spans="1:9" x14ac:dyDescent="0.2">
      <c r="A42" s="1">
        <v>45862</v>
      </c>
      <c r="B42" s="3">
        <v>0.4909722222222222</v>
      </c>
      <c r="C42" s="4">
        <v>23.2</v>
      </c>
      <c r="D42" s="4">
        <v>24</v>
      </c>
      <c r="E42" s="4">
        <v>24</v>
      </c>
      <c r="F42" s="4">
        <v>21.8</v>
      </c>
      <c r="G42" s="4">
        <v>2.5</v>
      </c>
      <c r="H42" s="4">
        <v>0.2</v>
      </c>
    </row>
    <row r="43" spans="1:9" x14ac:dyDescent="0.2">
      <c r="A43" s="1">
        <v>45883</v>
      </c>
      <c r="B43" s="3">
        <v>0.51666666666666672</v>
      </c>
      <c r="C43" s="4">
        <v>28.2</v>
      </c>
      <c r="D43" s="4">
        <v>28.8</v>
      </c>
      <c r="E43" s="4">
        <v>22.7</v>
      </c>
      <c r="F43" s="4">
        <v>20.2</v>
      </c>
      <c r="G43" s="4">
        <v>2.5</v>
      </c>
      <c r="H43" s="4">
        <v>0.2</v>
      </c>
    </row>
    <row r="44" spans="1:9" x14ac:dyDescent="0.2">
      <c r="A44" s="1">
        <v>45898</v>
      </c>
      <c r="B44" s="3">
        <v>0.42083333333333334</v>
      </c>
      <c r="C44" s="4">
        <v>23.8</v>
      </c>
      <c r="D44" s="4">
        <v>24.1</v>
      </c>
      <c r="E44" s="4">
        <v>24.3</v>
      </c>
      <c r="F44" s="4">
        <v>22.2</v>
      </c>
      <c r="G44" s="4">
        <v>2.5</v>
      </c>
      <c r="H44" s="4">
        <v>0.2</v>
      </c>
    </row>
    <row r="45" spans="1:9" x14ac:dyDescent="0.2">
      <c r="A45" s="1">
        <v>45916</v>
      </c>
      <c r="B45" s="3">
        <v>0.67291666666666661</v>
      </c>
      <c r="C45" s="4">
        <v>23</v>
      </c>
      <c r="D45" s="4">
        <v>23.7</v>
      </c>
      <c r="E45" s="4">
        <v>25</v>
      </c>
      <c r="F45" s="4">
        <v>23</v>
      </c>
      <c r="G45" s="4">
        <v>2.5</v>
      </c>
      <c r="H45" s="4">
        <v>0.2</v>
      </c>
    </row>
    <row r="46" spans="1:9" x14ac:dyDescent="0.2">
      <c r="A46" s="1">
        <v>45925</v>
      </c>
      <c r="B46" s="3">
        <v>0.69097222222222221</v>
      </c>
      <c r="C46" s="4">
        <v>26.6</v>
      </c>
      <c r="D46" s="4">
        <v>26.1</v>
      </c>
      <c r="E46" s="4">
        <v>25.8</v>
      </c>
      <c r="F46" s="4">
        <v>23.6</v>
      </c>
      <c r="G46" s="4">
        <v>2.5</v>
      </c>
      <c r="H46" s="4">
        <v>0.2</v>
      </c>
    </row>
    <row r="47" spans="1:9" x14ac:dyDescent="0.2">
      <c r="A47" s="1">
        <v>45936</v>
      </c>
      <c r="B47" s="3">
        <v>0.45555555555555555</v>
      </c>
      <c r="C47" s="4">
        <v>19.8</v>
      </c>
      <c r="D47" s="4">
        <v>18.8</v>
      </c>
      <c r="E47" s="4">
        <v>27.3</v>
      </c>
      <c r="F47" s="4">
        <v>25.2</v>
      </c>
      <c r="G47" s="4">
        <v>2.5</v>
      </c>
      <c r="H47" s="4">
        <v>0.2</v>
      </c>
    </row>
    <row r="48" spans="1:9" x14ac:dyDescent="0.2">
      <c r="A48" s="1">
        <v>45943</v>
      </c>
      <c r="B48" s="3">
        <v>0.63263888888888886</v>
      </c>
      <c r="C48" s="4">
        <v>23.1</v>
      </c>
      <c r="D48" s="4">
        <v>21.3</v>
      </c>
      <c r="E48" s="4">
        <v>27.3</v>
      </c>
      <c r="F48" s="4">
        <v>25.5</v>
      </c>
      <c r="G48" s="4">
        <v>2.5</v>
      </c>
      <c r="H48" s="4">
        <v>0.2</v>
      </c>
      <c r="I48" t="s">
        <v>9</v>
      </c>
    </row>
    <row r="49" spans="1:9" x14ac:dyDescent="0.2">
      <c r="A49" s="1">
        <v>45957</v>
      </c>
      <c r="B49" s="3">
        <v>0.74236111111111114</v>
      </c>
      <c r="C49" s="4">
        <v>21.3</v>
      </c>
      <c r="D49" s="4">
        <v>21</v>
      </c>
      <c r="E49" s="4">
        <v>28.3</v>
      </c>
      <c r="F49" s="4">
        <v>26.5</v>
      </c>
      <c r="G49" s="4">
        <v>2.5</v>
      </c>
      <c r="H49" s="4">
        <v>0.2</v>
      </c>
    </row>
    <row r="50" spans="1:9" x14ac:dyDescent="0.2">
      <c r="A50" s="1">
        <v>45964</v>
      </c>
      <c r="B50" s="3">
        <v>0.4381944444444445</v>
      </c>
      <c r="C50" s="4">
        <v>20.8</v>
      </c>
      <c r="D50" s="4">
        <v>20.2</v>
      </c>
      <c r="E50" s="4">
        <v>28.8</v>
      </c>
      <c r="F50" s="4">
        <v>26.6</v>
      </c>
      <c r="G50" s="4">
        <v>2.5</v>
      </c>
      <c r="H50" s="4">
        <v>0.2</v>
      </c>
    </row>
    <row r="51" spans="1:9" x14ac:dyDescent="0.2">
      <c r="A51" s="1">
        <v>45967</v>
      </c>
      <c r="B51" s="3">
        <v>0.70624999999999993</v>
      </c>
      <c r="C51" s="4">
        <v>19.100000000000001</v>
      </c>
      <c r="D51" s="4">
        <v>18.2</v>
      </c>
      <c r="E51" s="4">
        <v>28.3</v>
      </c>
      <c r="F51" s="4">
        <v>26.2</v>
      </c>
      <c r="G51" s="4">
        <v>2.5</v>
      </c>
      <c r="H51" s="4">
        <v>0.2</v>
      </c>
    </row>
    <row r="52" spans="1:9" x14ac:dyDescent="0.2">
      <c r="A52" s="1">
        <v>45968</v>
      </c>
      <c r="B52" s="3">
        <v>0.76597222222222217</v>
      </c>
      <c r="C52" s="4">
        <v>19.399999999999999</v>
      </c>
      <c r="D52" s="4">
        <v>17.3</v>
      </c>
      <c r="E52" s="4">
        <v>28.5</v>
      </c>
      <c r="F52" s="4">
        <v>26.5</v>
      </c>
      <c r="G52" s="4">
        <v>2.5</v>
      </c>
      <c r="H52" s="4">
        <v>0.2</v>
      </c>
    </row>
    <row r="53" spans="1:9" x14ac:dyDescent="0.2">
      <c r="A53" s="1">
        <v>45971</v>
      </c>
      <c r="B53" s="3">
        <v>0.71319444444444446</v>
      </c>
      <c r="C53" s="4">
        <v>18.399999999999999</v>
      </c>
      <c r="D53" s="4">
        <v>16.5</v>
      </c>
      <c r="E53" s="4">
        <v>28.7</v>
      </c>
      <c r="F53" s="4">
        <v>26.4</v>
      </c>
      <c r="G53" s="4">
        <v>2.5</v>
      </c>
      <c r="H53" s="4">
        <v>0.2</v>
      </c>
    </row>
    <row r="54" spans="1:9" x14ac:dyDescent="0.2">
      <c r="A54" s="1">
        <v>45972</v>
      </c>
      <c r="B54" s="3">
        <v>0.69374999999999998</v>
      </c>
      <c r="C54" s="4">
        <v>18.600000000000001</v>
      </c>
      <c r="D54" s="4">
        <v>17</v>
      </c>
      <c r="E54" s="4">
        <v>28.7</v>
      </c>
      <c r="F54" s="4">
        <v>26.5</v>
      </c>
      <c r="G54" s="4">
        <v>2.5</v>
      </c>
      <c r="H54" s="4">
        <v>0.2</v>
      </c>
    </row>
    <row r="55" spans="1:9" x14ac:dyDescent="0.2">
      <c r="A55" s="1">
        <v>45973</v>
      </c>
      <c r="B55" s="3">
        <v>0.6743055555555556</v>
      </c>
      <c r="C55" s="4">
        <v>18.899999999999999</v>
      </c>
      <c r="D55" s="4">
        <v>17.3</v>
      </c>
      <c r="E55" s="4">
        <v>28.7</v>
      </c>
      <c r="F55" s="4">
        <v>26.2</v>
      </c>
      <c r="G55" s="4">
        <v>2.5</v>
      </c>
      <c r="H55" s="4">
        <v>0.2</v>
      </c>
      <c r="I55" t="s">
        <v>11</v>
      </c>
    </row>
    <row r="56" spans="1:9" x14ac:dyDescent="0.2">
      <c r="A56" s="1">
        <v>45975</v>
      </c>
      <c r="B56" s="3">
        <v>0.47500000000000003</v>
      </c>
      <c r="C56" s="4">
        <v>18.5</v>
      </c>
      <c r="D56" s="4">
        <v>17.2</v>
      </c>
      <c r="E56" s="4">
        <v>28.6</v>
      </c>
      <c r="F56" s="4">
        <v>26</v>
      </c>
      <c r="G56" s="4">
        <v>2.5</v>
      </c>
      <c r="H56" s="4">
        <v>0.2</v>
      </c>
    </row>
    <row r="57" spans="1:9" x14ac:dyDescent="0.2">
      <c r="A57" s="1">
        <v>45978</v>
      </c>
      <c r="B57" s="3">
        <v>0.71875</v>
      </c>
      <c r="C57" s="4">
        <v>17.600000000000001</v>
      </c>
      <c r="D57" s="4">
        <v>15.8</v>
      </c>
      <c r="E57" s="4">
        <v>29.1</v>
      </c>
      <c r="F57" s="4">
        <v>26.8</v>
      </c>
      <c r="G57" s="4">
        <v>2.5</v>
      </c>
      <c r="H57" s="4">
        <v>0.2</v>
      </c>
    </row>
    <row r="58" spans="1:9" x14ac:dyDescent="0.2">
      <c r="A58" s="1">
        <v>45979</v>
      </c>
      <c r="B58" s="3">
        <v>0.63611111111111118</v>
      </c>
      <c r="C58" s="4">
        <v>17.8</v>
      </c>
      <c r="D58" s="4">
        <v>16</v>
      </c>
      <c r="E58" s="4">
        <v>29.2</v>
      </c>
      <c r="F58" s="4">
        <v>26.9</v>
      </c>
      <c r="G58" s="4">
        <v>2.5</v>
      </c>
      <c r="H58" s="4">
        <v>0.2</v>
      </c>
    </row>
    <row r="59" spans="1:9" x14ac:dyDescent="0.2">
      <c r="A59" s="1">
        <v>45982</v>
      </c>
      <c r="B59" s="3">
        <v>0.73125000000000007</v>
      </c>
      <c r="C59" s="4">
        <v>17</v>
      </c>
      <c r="D59" s="4">
        <v>15.2</v>
      </c>
      <c r="E59" s="4">
        <v>29.3</v>
      </c>
      <c r="F59" s="4">
        <v>26.9</v>
      </c>
      <c r="G59" s="4">
        <v>2.5</v>
      </c>
      <c r="H59" s="4">
        <v>0.2</v>
      </c>
    </row>
    <row r="60" spans="1:9" x14ac:dyDescent="0.2">
      <c r="A60" s="1">
        <v>45985</v>
      </c>
      <c r="B60" s="3">
        <v>0.7895833333333333</v>
      </c>
      <c r="C60" s="4">
        <v>16</v>
      </c>
      <c r="D60" s="4">
        <v>14.2</v>
      </c>
      <c r="E60" s="4">
        <v>30</v>
      </c>
      <c r="F60" s="4">
        <v>27.7</v>
      </c>
      <c r="G60" s="4">
        <v>2.5</v>
      </c>
      <c r="H60" s="4">
        <v>0.2</v>
      </c>
    </row>
    <row r="61" spans="1:9" x14ac:dyDescent="0.2">
      <c r="A61" s="1">
        <v>45986</v>
      </c>
      <c r="B61" s="3">
        <v>0.69236111111111109</v>
      </c>
      <c r="C61" s="4">
        <v>17</v>
      </c>
      <c r="D61" s="4">
        <v>14.9</v>
      </c>
      <c r="E61" s="4">
        <v>29.8</v>
      </c>
      <c r="F61" s="4">
        <v>27.4</v>
      </c>
      <c r="G61" s="4">
        <v>2.5</v>
      </c>
      <c r="H61" s="4">
        <v>0.2</v>
      </c>
    </row>
    <row r="62" spans="1:9" x14ac:dyDescent="0.2">
      <c r="A62" s="1">
        <v>45989</v>
      </c>
      <c r="B62" s="3">
        <v>0.69791666666666663</v>
      </c>
      <c r="C62" s="4">
        <v>16.3</v>
      </c>
      <c r="D62" s="4">
        <v>15</v>
      </c>
      <c r="E62" s="4">
        <v>29.7</v>
      </c>
      <c r="F62" s="4">
        <v>27.6</v>
      </c>
      <c r="G62" s="4">
        <v>2.5</v>
      </c>
      <c r="H62" s="4">
        <v>0.2</v>
      </c>
    </row>
    <row r="63" spans="1:9" x14ac:dyDescent="0.2">
      <c r="A63" s="1">
        <v>45993</v>
      </c>
      <c r="B63" s="3">
        <v>0.74722222222222223</v>
      </c>
      <c r="C63" s="4">
        <v>17</v>
      </c>
      <c r="D63" s="4">
        <v>15</v>
      </c>
      <c r="E63" s="4">
        <v>29.7</v>
      </c>
      <c r="F63" s="4">
        <v>27.5</v>
      </c>
      <c r="G63" s="4">
        <v>2.5</v>
      </c>
      <c r="H63" s="4">
        <v>0.2</v>
      </c>
    </row>
    <row r="64" spans="1:9" x14ac:dyDescent="0.2">
      <c r="A64" s="1">
        <v>45994</v>
      </c>
      <c r="B64" s="3">
        <v>0.70763888888888893</v>
      </c>
      <c r="C64" s="4">
        <v>16.3</v>
      </c>
      <c r="D64" s="4">
        <v>15</v>
      </c>
      <c r="E64" s="4">
        <v>29.6</v>
      </c>
      <c r="F64" s="4">
        <v>27.3</v>
      </c>
      <c r="G64" s="4">
        <v>2.5</v>
      </c>
      <c r="H64" s="4">
        <v>0.2</v>
      </c>
    </row>
    <row r="65" spans="1:8" x14ac:dyDescent="0.2">
      <c r="A65" s="1">
        <v>45996</v>
      </c>
      <c r="B65" s="3">
        <v>0.78819444444444453</v>
      </c>
      <c r="C65" s="4">
        <v>16.5</v>
      </c>
      <c r="D65" s="4">
        <v>15</v>
      </c>
      <c r="E65" s="4">
        <v>29.6</v>
      </c>
      <c r="F65" s="4">
        <v>27.4</v>
      </c>
      <c r="G65" s="4">
        <v>2.5</v>
      </c>
      <c r="H65" s="4">
        <v>0.2</v>
      </c>
    </row>
    <row r="66" spans="1:8" x14ac:dyDescent="0.2">
      <c r="A66" s="1">
        <v>45999</v>
      </c>
      <c r="B66" s="3">
        <v>0.78611111111111109</v>
      </c>
      <c r="C66" s="4">
        <v>17.899999999999999</v>
      </c>
      <c r="D66" s="4">
        <v>16</v>
      </c>
      <c r="E66" s="4">
        <v>29.4</v>
      </c>
      <c r="F66" s="4">
        <v>27.4</v>
      </c>
      <c r="G66" s="4">
        <v>2.5</v>
      </c>
      <c r="H66" s="4">
        <v>0.2</v>
      </c>
    </row>
    <row r="67" spans="1:8" x14ac:dyDescent="0.2">
      <c r="A67" s="1">
        <v>46000</v>
      </c>
      <c r="B67" s="3">
        <v>0.59513888888888888</v>
      </c>
      <c r="C67" s="4">
        <v>18</v>
      </c>
      <c r="D67" s="4">
        <v>17</v>
      </c>
      <c r="E67" s="4">
        <v>29.2</v>
      </c>
      <c r="F67" s="4">
        <v>27.1</v>
      </c>
      <c r="G67" s="4">
        <v>2.5</v>
      </c>
      <c r="H67" s="4">
        <v>0.2</v>
      </c>
    </row>
    <row r="68" spans="1:8" x14ac:dyDescent="0.2">
      <c r="A68" s="1">
        <v>46002</v>
      </c>
      <c r="B68" s="3">
        <v>0.45902777777777776</v>
      </c>
      <c r="C68" s="4">
        <v>18.7</v>
      </c>
      <c r="D68" s="4">
        <v>16.3</v>
      </c>
      <c r="E68" s="4">
        <v>29.3</v>
      </c>
      <c r="F68" s="4">
        <v>27</v>
      </c>
      <c r="G68" s="4">
        <v>2.5</v>
      </c>
      <c r="H68" s="4">
        <v>0.2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06ED-B581-D947-89D7-ACAB610CBC9A}">
  <dimension ref="A1:H19"/>
  <sheetViews>
    <sheetView tabSelected="1" workbookViewId="0">
      <selection activeCell="H31" sqref="H31"/>
    </sheetView>
  </sheetViews>
  <sheetFormatPr baseColWidth="10" defaultRowHeight="16" x14ac:dyDescent="0.2"/>
  <sheetData>
    <row r="1" spans="1:8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</row>
    <row r="2" spans="1:8" x14ac:dyDescent="0.2">
      <c r="A2" s="5">
        <v>19.100000000000001</v>
      </c>
      <c r="B2" s="5">
        <v>18.2</v>
      </c>
      <c r="C2">
        <v>22.7</v>
      </c>
      <c r="D2">
        <v>21.4</v>
      </c>
      <c r="E2">
        <f>C2/A2</f>
        <v>1.1884816753926701</v>
      </c>
      <c r="F2">
        <f>D2/B2</f>
        <v>1.1758241758241759</v>
      </c>
      <c r="G2" s="4">
        <f>C2-A2</f>
        <v>3.5999999999999979</v>
      </c>
      <c r="H2" s="4">
        <f>D2-B2</f>
        <v>3.1999999999999993</v>
      </c>
    </row>
    <row r="3" spans="1:8" x14ac:dyDescent="0.2">
      <c r="A3" s="5">
        <v>19.399999999999999</v>
      </c>
      <c r="B3" s="5">
        <v>17.3</v>
      </c>
      <c r="C3">
        <v>20.6</v>
      </c>
      <c r="D3">
        <v>19</v>
      </c>
      <c r="E3">
        <f t="shared" ref="E3:E19" si="0">C3/A3</f>
        <v>1.061855670103093</v>
      </c>
      <c r="F3">
        <f t="shared" ref="F3:F19" si="1">D3/B3</f>
        <v>1.0982658959537572</v>
      </c>
      <c r="G3" s="4">
        <f t="shared" ref="G3:H19" si="2">C3-A3</f>
        <v>1.2000000000000028</v>
      </c>
      <c r="H3" s="4">
        <f t="shared" si="2"/>
        <v>1.6999999999999993</v>
      </c>
    </row>
    <row r="4" spans="1:8" x14ac:dyDescent="0.2">
      <c r="A4" s="5">
        <v>18.399999999999999</v>
      </c>
      <c r="B4" s="5">
        <v>16.5</v>
      </c>
      <c r="C4">
        <v>20.7</v>
      </c>
      <c r="D4">
        <v>20.7</v>
      </c>
      <c r="E4">
        <f t="shared" si="0"/>
        <v>1.125</v>
      </c>
      <c r="F4">
        <f t="shared" si="1"/>
        <v>1.2545454545454544</v>
      </c>
      <c r="G4" s="4">
        <f t="shared" si="2"/>
        <v>2.3000000000000007</v>
      </c>
      <c r="H4" s="4">
        <f t="shared" si="2"/>
        <v>4.1999999999999993</v>
      </c>
    </row>
    <row r="5" spans="1:8" x14ac:dyDescent="0.2">
      <c r="A5" s="5">
        <v>18.600000000000001</v>
      </c>
      <c r="B5" s="5">
        <v>17</v>
      </c>
      <c r="C5">
        <v>21.3</v>
      </c>
      <c r="D5">
        <v>20.8</v>
      </c>
      <c r="E5">
        <f t="shared" si="0"/>
        <v>1.1451612903225805</v>
      </c>
      <c r="F5">
        <f t="shared" si="1"/>
        <v>1.223529411764706</v>
      </c>
      <c r="G5" s="4">
        <f t="shared" si="2"/>
        <v>2.6999999999999993</v>
      </c>
      <c r="H5" s="4">
        <f t="shared" si="2"/>
        <v>3.8000000000000007</v>
      </c>
    </row>
    <row r="6" spans="1:8" x14ac:dyDescent="0.2">
      <c r="A6" s="5">
        <v>18.899999999999999</v>
      </c>
      <c r="B6" s="5">
        <v>17.3</v>
      </c>
      <c r="C6">
        <v>21</v>
      </c>
      <c r="D6">
        <v>21</v>
      </c>
      <c r="E6">
        <f t="shared" si="0"/>
        <v>1.1111111111111112</v>
      </c>
      <c r="F6">
        <f t="shared" si="1"/>
        <v>1.2138728323699421</v>
      </c>
      <c r="G6" s="4">
        <f t="shared" si="2"/>
        <v>2.1000000000000014</v>
      </c>
      <c r="H6" s="4">
        <f t="shared" si="2"/>
        <v>3.6999999999999993</v>
      </c>
    </row>
    <row r="7" spans="1:8" x14ac:dyDescent="0.2">
      <c r="A7" s="5">
        <v>18.5</v>
      </c>
      <c r="B7" s="5">
        <v>17.2</v>
      </c>
      <c r="C7">
        <v>20.5</v>
      </c>
      <c r="D7">
        <v>20.2</v>
      </c>
      <c r="E7">
        <f t="shared" si="0"/>
        <v>1.1081081081081081</v>
      </c>
      <c r="F7">
        <f t="shared" si="1"/>
        <v>1.1744186046511629</v>
      </c>
      <c r="G7" s="4">
        <f t="shared" si="2"/>
        <v>2</v>
      </c>
      <c r="H7" s="4">
        <f t="shared" si="2"/>
        <v>3</v>
      </c>
    </row>
    <row r="8" spans="1:8" x14ac:dyDescent="0.2">
      <c r="A8" s="5">
        <v>17.600000000000001</v>
      </c>
      <c r="B8" s="5">
        <v>15.8</v>
      </c>
      <c r="C8">
        <v>20.5</v>
      </c>
      <c r="D8">
        <v>20</v>
      </c>
      <c r="E8">
        <f t="shared" si="0"/>
        <v>1.1647727272727271</v>
      </c>
      <c r="F8">
        <f t="shared" si="1"/>
        <v>1.2658227848101264</v>
      </c>
      <c r="G8" s="4">
        <f t="shared" si="2"/>
        <v>2.8999999999999986</v>
      </c>
      <c r="H8" s="4">
        <f t="shared" si="2"/>
        <v>4.1999999999999993</v>
      </c>
    </row>
    <row r="9" spans="1:8" x14ac:dyDescent="0.2">
      <c r="A9" s="4">
        <v>17.8</v>
      </c>
      <c r="B9" s="4">
        <v>16</v>
      </c>
      <c r="C9">
        <v>19.7</v>
      </c>
      <c r="D9">
        <v>19.399999999999999</v>
      </c>
      <c r="E9">
        <f t="shared" si="0"/>
        <v>1.1067415730337078</v>
      </c>
      <c r="F9">
        <f t="shared" si="1"/>
        <v>1.2124999999999999</v>
      </c>
      <c r="G9" s="4">
        <f t="shared" si="2"/>
        <v>1.8999999999999986</v>
      </c>
      <c r="H9" s="4">
        <f t="shared" si="2"/>
        <v>3.3999999999999986</v>
      </c>
    </row>
    <row r="10" spans="1:8" x14ac:dyDescent="0.2">
      <c r="A10" s="4">
        <v>17</v>
      </c>
      <c r="B10" s="4">
        <v>15.2</v>
      </c>
      <c r="C10">
        <v>19.2</v>
      </c>
      <c r="D10">
        <v>18.5</v>
      </c>
      <c r="E10">
        <f t="shared" si="0"/>
        <v>1.1294117647058823</v>
      </c>
      <c r="F10">
        <f t="shared" si="1"/>
        <v>1.2171052631578947</v>
      </c>
      <c r="G10" s="4">
        <f t="shared" si="2"/>
        <v>2.1999999999999993</v>
      </c>
      <c r="H10" s="4">
        <f t="shared" si="2"/>
        <v>3.3000000000000007</v>
      </c>
    </row>
    <row r="11" spans="1:8" x14ac:dyDescent="0.2">
      <c r="A11" s="4">
        <v>16</v>
      </c>
      <c r="B11" s="4">
        <v>14.2</v>
      </c>
      <c r="C11">
        <v>18.7</v>
      </c>
      <c r="D11">
        <v>18</v>
      </c>
      <c r="E11">
        <f t="shared" si="0"/>
        <v>1.16875</v>
      </c>
      <c r="F11">
        <f t="shared" si="1"/>
        <v>1.267605633802817</v>
      </c>
      <c r="G11" s="4">
        <f t="shared" si="2"/>
        <v>2.6999999999999993</v>
      </c>
      <c r="H11" s="4">
        <f t="shared" si="2"/>
        <v>3.8000000000000007</v>
      </c>
    </row>
    <row r="12" spans="1:8" x14ac:dyDescent="0.2">
      <c r="A12" s="4">
        <v>17</v>
      </c>
      <c r="B12" s="4">
        <v>14.9</v>
      </c>
      <c r="C12">
        <v>19</v>
      </c>
      <c r="D12">
        <v>18.399999999999999</v>
      </c>
      <c r="E12">
        <f t="shared" si="0"/>
        <v>1.1176470588235294</v>
      </c>
      <c r="F12">
        <f t="shared" si="1"/>
        <v>1.2348993288590602</v>
      </c>
      <c r="G12" s="4">
        <f t="shared" si="2"/>
        <v>2</v>
      </c>
      <c r="H12" s="4">
        <f t="shared" si="2"/>
        <v>3.4999999999999982</v>
      </c>
    </row>
    <row r="13" spans="1:8" x14ac:dyDescent="0.2">
      <c r="A13" s="4">
        <v>16.3</v>
      </c>
      <c r="B13" s="4">
        <v>15</v>
      </c>
      <c r="C13">
        <v>19.2</v>
      </c>
      <c r="D13">
        <v>18.2</v>
      </c>
      <c r="E13">
        <f t="shared" si="0"/>
        <v>1.1779141104294477</v>
      </c>
      <c r="F13">
        <f t="shared" si="1"/>
        <v>1.2133333333333334</v>
      </c>
      <c r="G13" s="4">
        <f t="shared" si="2"/>
        <v>2.8999999999999986</v>
      </c>
      <c r="H13" s="4">
        <f t="shared" si="2"/>
        <v>3.1999999999999993</v>
      </c>
    </row>
    <row r="14" spans="1:8" x14ac:dyDescent="0.2">
      <c r="A14" s="4">
        <v>17</v>
      </c>
      <c r="B14" s="4">
        <v>15</v>
      </c>
      <c r="C14">
        <v>18.399999999999999</v>
      </c>
      <c r="D14">
        <v>17.7</v>
      </c>
      <c r="E14">
        <f t="shared" si="0"/>
        <v>1.0823529411764705</v>
      </c>
      <c r="F14">
        <f t="shared" si="1"/>
        <v>1.18</v>
      </c>
      <c r="G14" s="4">
        <f t="shared" si="2"/>
        <v>1.3999999999999986</v>
      </c>
      <c r="H14" s="4">
        <f t="shared" si="2"/>
        <v>2.6999999999999993</v>
      </c>
    </row>
    <row r="15" spans="1:8" x14ac:dyDescent="0.2">
      <c r="A15" s="4">
        <v>16.3</v>
      </c>
      <c r="B15" s="4">
        <v>15</v>
      </c>
      <c r="C15">
        <v>19.3</v>
      </c>
      <c r="D15">
        <v>19</v>
      </c>
      <c r="E15">
        <f t="shared" si="0"/>
        <v>1.1840490797546013</v>
      </c>
      <c r="F15">
        <f t="shared" si="1"/>
        <v>1.2666666666666666</v>
      </c>
      <c r="G15" s="4">
        <f t="shared" si="2"/>
        <v>3</v>
      </c>
      <c r="H15" s="4">
        <f t="shared" si="2"/>
        <v>4</v>
      </c>
    </row>
    <row r="16" spans="1:8" x14ac:dyDescent="0.2">
      <c r="A16" s="4">
        <v>16.5</v>
      </c>
      <c r="B16" s="4">
        <v>15</v>
      </c>
      <c r="C16">
        <v>19</v>
      </c>
      <c r="D16">
        <v>18</v>
      </c>
      <c r="E16">
        <f t="shared" si="0"/>
        <v>1.1515151515151516</v>
      </c>
      <c r="F16">
        <f t="shared" si="1"/>
        <v>1.2</v>
      </c>
      <c r="G16" s="4">
        <f t="shared" si="2"/>
        <v>2.5</v>
      </c>
      <c r="H16" s="4">
        <f t="shared" si="2"/>
        <v>3</v>
      </c>
    </row>
    <row r="17" spans="1:8" x14ac:dyDescent="0.2">
      <c r="A17" s="4">
        <v>17.899999999999999</v>
      </c>
      <c r="B17" s="4">
        <v>16</v>
      </c>
      <c r="C17">
        <v>19.8</v>
      </c>
      <c r="D17">
        <v>19.3</v>
      </c>
      <c r="E17">
        <f t="shared" si="0"/>
        <v>1.1061452513966481</v>
      </c>
      <c r="F17">
        <f t="shared" si="1"/>
        <v>1.20625</v>
      </c>
      <c r="G17" s="4">
        <f t="shared" si="2"/>
        <v>1.9000000000000021</v>
      </c>
      <c r="H17" s="4">
        <f t="shared" si="2"/>
        <v>3.3000000000000007</v>
      </c>
    </row>
    <row r="18" spans="1:8" x14ac:dyDescent="0.2">
      <c r="A18" s="4">
        <v>18</v>
      </c>
      <c r="B18" s="4">
        <v>17</v>
      </c>
      <c r="C18">
        <v>20.2</v>
      </c>
      <c r="D18">
        <v>19.5</v>
      </c>
      <c r="E18">
        <f t="shared" si="0"/>
        <v>1.1222222222222222</v>
      </c>
      <c r="F18">
        <f t="shared" si="1"/>
        <v>1.1470588235294117</v>
      </c>
      <c r="G18" s="4">
        <f t="shared" si="2"/>
        <v>2.1999999999999993</v>
      </c>
      <c r="H18" s="4">
        <f t="shared" si="2"/>
        <v>2.5</v>
      </c>
    </row>
    <row r="19" spans="1:8" x14ac:dyDescent="0.2">
      <c r="A19" s="4">
        <v>18.7</v>
      </c>
      <c r="B19" s="4">
        <v>16.3</v>
      </c>
      <c r="C19">
        <v>19.7</v>
      </c>
      <c r="D19">
        <v>19.2</v>
      </c>
      <c r="E19">
        <f t="shared" si="0"/>
        <v>1.053475935828877</v>
      </c>
      <c r="F19">
        <f t="shared" si="1"/>
        <v>1.1779141104294477</v>
      </c>
      <c r="G19" s="4">
        <f>C19-A19</f>
        <v>1</v>
      </c>
      <c r="H19" s="4">
        <f t="shared" si="2"/>
        <v>2.8999999999999986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>Uni Rostock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Spalt Glasbrücke Institut für Physik</dc:title>
  <dc:subject>Messung mit Messschieber und FLIR</dc:subject>
  <dc:creator>Björn Lindqvist</dc:creator>
  <cp:keywords/>
  <dc:description/>
  <cp:lastModifiedBy>Björn_HZDR</cp:lastModifiedBy>
  <dcterms:created xsi:type="dcterms:W3CDTF">2024-10-18T12:11:13Z</dcterms:created>
  <dcterms:modified xsi:type="dcterms:W3CDTF">2025-12-11T10:11:03Z</dcterms:modified>
  <cp:category/>
</cp:coreProperties>
</file>